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" sheetId="1" r:id="rId5"/>
    <sheet state="visible" name="Target" sheetId="2" r:id="rId6"/>
  </sheets>
  <definedNames/>
  <calcPr/>
</workbook>
</file>

<file path=xl/sharedStrings.xml><?xml version="1.0" encoding="utf-8"?>
<sst xmlns="http://schemas.openxmlformats.org/spreadsheetml/2006/main" count="71" uniqueCount="30">
  <si>
    <t>Date</t>
  </si>
  <si>
    <t>Rep Code</t>
  </si>
  <si>
    <t>Rep Name</t>
  </si>
  <si>
    <t>Target Month</t>
  </si>
  <si>
    <t>Net Sales</t>
  </si>
  <si>
    <t>Achivment %</t>
  </si>
  <si>
    <t>Opening Balance</t>
  </si>
  <si>
    <t>Sales Value</t>
  </si>
  <si>
    <t>Returns Value</t>
  </si>
  <si>
    <t>Tasweyat Madinah</t>
  </si>
  <si>
    <t>Total Collection</t>
  </si>
  <si>
    <t>Madfoaat</t>
  </si>
  <si>
    <t>Tasweyat Dainah</t>
  </si>
  <si>
    <t>End Balance</t>
  </si>
  <si>
    <t>Motalbet El Fatrah</t>
  </si>
  <si>
    <t>باسم</t>
  </si>
  <si>
    <t>محمد سلمى</t>
  </si>
  <si>
    <t>محمود شوشه</t>
  </si>
  <si>
    <t>الغربية 1</t>
  </si>
  <si>
    <t>الغربيه 2</t>
  </si>
  <si>
    <t>احمد الزيات</t>
  </si>
  <si>
    <t>محمد طارق</t>
  </si>
  <si>
    <t>محمد ابو شحاته</t>
  </si>
  <si>
    <t>حسام حسن</t>
  </si>
  <si>
    <t>احمد طلعت</t>
  </si>
  <si>
    <t>اسماء محمد</t>
  </si>
  <si>
    <t>محمد الجيزاوى</t>
  </si>
  <si>
    <t>خالد الضو</t>
  </si>
  <si>
    <t>اسراء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</si>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</sst>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Rep-style">
      <tableStyleElement dxfId="1" type="headerRow"/>
      <tableStyleElement dxfId="2" type="firstRowStripe"/>
      <tableStyleElement dxfId="3" type="secondRowStripe"/>
    </tableStyle>
    <tableStyle count="3" pivot="0" name="Targ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57" displayName="Table_1" name="Table_1" id="1">
  <tableColumns count="15">
    <tableColumn name="Date" id="1"/>
    <tableColumn name="Rep Code" id="2"/>
    <tableColumn name="Rep Name" id="3"/>
    <tableColumn name="Target Month" id="4"/>
    <tableColumn name="Net Sales" id="5"/>
    <tableColumn name="Achivment %" id="6"/>
    <tableColumn name="Opening Balance" id="7"/>
    <tableColumn name="Sales Value" id="8"/>
    <tableColumn name="Returns Value" id="9"/>
    <tableColumn name="Tasweyat Madinah" id="10"/>
    <tableColumn name="Total Collection" id="11"/>
    <tableColumn name="Madfoaat" id="12"/>
    <tableColumn name="Tasweyat Dainah" id="13"/>
    <tableColumn name="End Balance" id="14"/>
    <tableColumn name="Motalbet El Fatrah" id="15"/>
  </tableColumns>
  <tableStyleInfo name="Rep-style" showColumnStripes="0" showFirstColumn="1" showLastColumn="1" showRowStripes="1"/>
</table>
</file>

<file path=xl/tables/table2.xml><?xml version="1.0" encoding="utf-8"?>
<table xmlns="http://schemas.openxmlformats.org/spreadsheetml/2006/main" ref="A1:B12" displayName="Table_2" name="Table_2" id="2">
  <tableColumns count="2">
    <tableColumn name="Rep Code" id="1"/>
    <tableColumn name="Target" id="2"/>
  </tableColumns>
  <tableStyleInfo name="Targ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5.88"/>
    <col customWidth="1" min="3" max="3" width="16.5"/>
    <col customWidth="1" min="4" max="7" width="21.25"/>
    <col customWidth="1" min="8" max="8" width="17.38"/>
    <col customWidth="1" min="9" max="9" width="19.0"/>
    <col customWidth="1" min="10" max="10" width="22.63"/>
    <col customWidth="1" min="11" max="11" width="20.25"/>
    <col customWidth="1" min="12" max="12" width="16.0"/>
    <col customWidth="1" min="13" max="13" width="21.38"/>
    <col customWidth="1" min="14" max="14" width="17.88"/>
    <col customWidth="1" min="15" max="15" width="22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3">
        <v>46023.0</v>
      </c>
      <c r="B2" s="4">
        <v>10.0</v>
      </c>
      <c r="C2" s="5" t="s">
        <v>15</v>
      </c>
      <c r="D2" s="6">
        <v>1.6E7</v>
      </c>
      <c r="E2" s="7">
        <f t="shared" ref="E2:E57" si="1">H2-J2</f>
        <v>1348600</v>
      </c>
      <c r="F2" s="4">
        <f t="shared" ref="F2:F57" si="2">E2/D2</f>
        <v>0.0842875</v>
      </c>
      <c r="G2" s="4">
        <v>3310917.95</v>
      </c>
      <c r="H2" s="7">
        <v>1348600.0</v>
      </c>
      <c r="I2" s="4">
        <v>287426.4</v>
      </c>
      <c r="J2" s="4">
        <v>0.0</v>
      </c>
      <c r="K2" s="4">
        <v>807900.0</v>
      </c>
      <c r="L2" s="4">
        <v>0.0</v>
      </c>
      <c r="M2" s="4">
        <v>0.0</v>
      </c>
      <c r="N2" s="7">
        <v>3564191.55</v>
      </c>
      <c r="O2" s="7">
        <v>950690.0</v>
      </c>
    </row>
    <row r="3" ht="22.5" customHeight="1">
      <c r="A3" s="3">
        <v>46023.0</v>
      </c>
      <c r="B3" s="4">
        <v>20.0</v>
      </c>
      <c r="C3" s="5" t="s">
        <v>16</v>
      </c>
      <c r="D3" s="6">
        <v>2.7E7</v>
      </c>
      <c r="E3" s="7">
        <f t="shared" si="1"/>
        <v>2597870</v>
      </c>
      <c r="F3" s="4">
        <f t="shared" si="2"/>
        <v>0.09621740741</v>
      </c>
      <c r="G3" s="4">
        <v>558267.0</v>
      </c>
      <c r="H3" s="7">
        <v>2597870.0</v>
      </c>
      <c r="I3" s="4">
        <v>0.0</v>
      </c>
      <c r="J3" s="4">
        <v>0.0</v>
      </c>
      <c r="K3" s="4">
        <v>286050.0</v>
      </c>
      <c r="L3" s="4">
        <v>0.0</v>
      </c>
      <c r="M3" s="4">
        <v>65000.0</v>
      </c>
      <c r="N3" s="7">
        <v>2805087.0</v>
      </c>
      <c r="O3" s="7">
        <v>2142492.0</v>
      </c>
    </row>
    <row r="4" ht="22.5" customHeight="1">
      <c r="A4" s="3">
        <v>46023.0</v>
      </c>
      <c r="B4" s="4">
        <v>21.0</v>
      </c>
      <c r="C4" s="5" t="s">
        <v>17</v>
      </c>
      <c r="D4" s="6">
        <v>2.7E7</v>
      </c>
      <c r="E4" s="7">
        <f t="shared" si="1"/>
        <v>837799.76</v>
      </c>
      <c r="F4" s="4">
        <f t="shared" si="2"/>
        <v>0.03102962074</v>
      </c>
      <c r="G4" s="4">
        <v>3532345.04</v>
      </c>
      <c r="H4" s="7">
        <v>837799.76</v>
      </c>
      <c r="I4" s="4">
        <v>18900.0</v>
      </c>
      <c r="J4" s="4">
        <v>0.0</v>
      </c>
      <c r="K4" s="4">
        <v>446050.0</v>
      </c>
      <c r="L4" s="4">
        <v>400000.0</v>
      </c>
      <c r="M4" s="4">
        <v>0.0</v>
      </c>
      <c r="N4" s="7">
        <v>4305194.8</v>
      </c>
      <c r="O4" s="7">
        <v>543809.76</v>
      </c>
    </row>
    <row r="5" ht="22.5" customHeight="1">
      <c r="A5" s="3">
        <v>46023.0</v>
      </c>
      <c r="B5" s="4">
        <v>30.0</v>
      </c>
      <c r="C5" s="5" t="s">
        <v>18</v>
      </c>
      <c r="D5" s="6">
        <v>1.7E7</v>
      </c>
      <c r="E5" s="7">
        <f t="shared" si="1"/>
        <v>1193201.08</v>
      </c>
      <c r="F5" s="4">
        <f t="shared" si="2"/>
        <v>0.07018829882</v>
      </c>
      <c r="G5" s="4">
        <v>1886050.0</v>
      </c>
      <c r="H5" s="7">
        <v>1193201.08</v>
      </c>
      <c r="I5" s="4">
        <v>32100.0</v>
      </c>
      <c r="J5" s="4">
        <v>0.0</v>
      </c>
      <c r="K5" s="4">
        <v>322500.0</v>
      </c>
      <c r="L5" s="4">
        <v>0.0</v>
      </c>
      <c r="M5" s="4">
        <v>0.0</v>
      </c>
      <c r="N5" s="7">
        <v>2724651.08</v>
      </c>
      <c r="O5" s="7">
        <v>664080.0</v>
      </c>
    </row>
    <row r="6" ht="22.5" customHeight="1">
      <c r="A6" s="3">
        <v>46023.0</v>
      </c>
      <c r="B6" s="4">
        <v>31.0</v>
      </c>
      <c r="C6" s="5" t="s">
        <v>19</v>
      </c>
      <c r="D6" s="6">
        <v>1.7E8</v>
      </c>
      <c r="E6" s="7">
        <f t="shared" si="1"/>
        <v>321400</v>
      </c>
      <c r="F6" s="4">
        <f t="shared" si="2"/>
        <v>0.001890588235</v>
      </c>
      <c r="G6" s="4">
        <v>695264.0</v>
      </c>
      <c r="H6" s="7">
        <v>321400.0</v>
      </c>
      <c r="I6" s="4">
        <v>0.0</v>
      </c>
      <c r="J6" s="4">
        <v>0.0</v>
      </c>
      <c r="K6" s="4">
        <v>180800.0</v>
      </c>
      <c r="L6" s="4">
        <v>0.0</v>
      </c>
      <c r="M6" s="4">
        <v>0.0</v>
      </c>
      <c r="N6" s="7">
        <v>835864.0</v>
      </c>
      <c r="O6" s="7">
        <v>89765.0</v>
      </c>
    </row>
    <row r="7" ht="22.5" customHeight="1">
      <c r="A7" s="3">
        <v>46023.0</v>
      </c>
      <c r="B7" s="4">
        <v>40.0</v>
      </c>
      <c r="C7" s="5" t="s">
        <v>20</v>
      </c>
      <c r="D7" s="6">
        <v>1.8E7</v>
      </c>
      <c r="E7" s="7">
        <f t="shared" si="1"/>
        <v>1292800</v>
      </c>
      <c r="F7" s="4">
        <f t="shared" si="2"/>
        <v>0.07182222222</v>
      </c>
      <c r="G7" s="4">
        <v>3227645.0</v>
      </c>
      <c r="H7" s="7">
        <v>1292800.0</v>
      </c>
      <c r="I7" s="4">
        <v>8400.0</v>
      </c>
      <c r="J7" s="4">
        <v>0.0</v>
      </c>
      <c r="K7" s="4">
        <v>220400.0</v>
      </c>
      <c r="L7" s="4">
        <v>0.0</v>
      </c>
      <c r="M7" s="4">
        <v>0.0</v>
      </c>
      <c r="N7" s="7">
        <v>4291645.0</v>
      </c>
      <c r="O7" s="7">
        <v>969470.0</v>
      </c>
    </row>
    <row r="8" ht="22.5" customHeight="1">
      <c r="A8" s="3">
        <v>46023.0</v>
      </c>
      <c r="B8" s="4">
        <v>51.0</v>
      </c>
      <c r="C8" s="5" t="s">
        <v>21</v>
      </c>
      <c r="D8" s="6">
        <v>1.8E7</v>
      </c>
      <c r="E8" s="7">
        <f t="shared" si="1"/>
        <v>265202.7</v>
      </c>
      <c r="F8" s="4">
        <f t="shared" si="2"/>
        <v>0.01473348333</v>
      </c>
      <c r="G8" s="4">
        <v>1205756.0</v>
      </c>
      <c r="H8" s="7">
        <v>265202.7</v>
      </c>
      <c r="I8" s="4">
        <v>26004.0</v>
      </c>
      <c r="J8" s="4">
        <v>0.0</v>
      </c>
      <c r="K8" s="4">
        <v>62800.0</v>
      </c>
      <c r="L8" s="4">
        <v>0.0</v>
      </c>
      <c r="M8" s="4">
        <v>0.0</v>
      </c>
      <c r="N8" s="7">
        <v>1382154.7</v>
      </c>
      <c r="O8" s="7">
        <v>252245.7</v>
      </c>
    </row>
    <row r="9" ht="22.5" customHeight="1">
      <c r="A9" s="3">
        <v>46023.0</v>
      </c>
      <c r="B9" s="4">
        <v>52.0</v>
      </c>
      <c r="C9" s="5" t="s">
        <v>22</v>
      </c>
      <c r="D9" s="6">
        <v>1.8E7</v>
      </c>
      <c r="E9" s="7">
        <f t="shared" si="1"/>
        <v>752100</v>
      </c>
      <c r="F9" s="4">
        <f t="shared" si="2"/>
        <v>0.04178333333</v>
      </c>
      <c r="G9" s="4">
        <v>947163.0</v>
      </c>
      <c r="H9" s="7">
        <v>752100.0</v>
      </c>
      <c r="I9" s="4">
        <v>28000.0</v>
      </c>
      <c r="J9" s="4">
        <v>0.0</v>
      </c>
      <c r="K9" s="4">
        <v>242080.0</v>
      </c>
      <c r="L9" s="4">
        <v>0.0</v>
      </c>
      <c r="M9" s="4">
        <v>0.0</v>
      </c>
      <c r="N9" s="7">
        <v>1429183.0</v>
      </c>
      <c r="O9" s="7">
        <v>164820.0</v>
      </c>
    </row>
    <row r="10" ht="22.5" customHeight="1">
      <c r="A10" s="3">
        <v>46023.0</v>
      </c>
      <c r="B10" s="4">
        <v>61.0</v>
      </c>
      <c r="C10" s="5" t="s">
        <v>23</v>
      </c>
      <c r="D10" s="6">
        <v>1.8E7</v>
      </c>
      <c r="E10" s="7">
        <f t="shared" si="1"/>
        <v>252200</v>
      </c>
      <c r="F10" s="4">
        <f t="shared" si="2"/>
        <v>0.01401111111</v>
      </c>
      <c r="G10" s="4">
        <v>1130890.0</v>
      </c>
      <c r="H10" s="7">
        <v>252200.0</v>
      </c>
      <c r="I10" s="4">
        <v>0.0</v>
      </c>
      <c r="J10" s="4">
        <v>0.0</v>
      </c>
      <c r="K10" s="4">
        <v>81000.0</v>
      </c>
      <c r="L10" s="4">
        <v>0.0</v>
      </c>
      <c r="M10" s="4">
        <v>0.0</v>
      </c>
      <c r="N10" s="7">
        <v>1302090.0</v>
      </c>
      <c r="O10" s="7">
        <v>195200.0</v>
      </c>
    </row>
    <row r="11" ht="22.5" customHeight="1">
      <c r="A11" s="3">
        <v>46023.0</v>
      </c>
      <c r="B11" s="4">
        <v>63.0</v>
      </c>
      <c r="C11" s="5" t="s">
        <v>24</v>
      </c>
      <c r="D11" s="6">
        <v>1.2E7</v>
      </c>
      <c r="E11" s="7">
        <f t="shared" si="1"/>
        <v>916600</v>
      </c>
      <c r="F11" s="4">
        <f t="shared" si="2"/>
        <v>0.07638333333</v>
      </c>
      <c r="G11" s="4">
        <v>1494587.0</v>
      </c>
      <c r="H11" s="7">
        <v>916600.0</v>
      </c>
      <c r="I11" s="4">
        <v>39600.0</v>
      </c>
      <c r="J11" s="4">
        <v>0.0</v>
      </c>
      <c r="K11" s="4">
        <v>90000.0</v>
      </c>
      <c r="L11" s="4">
        <v>0.0</v>
      </c>
      <c r="M11" s="4">
        <v>0.0</v>
      </c>
      <c r="N11" s="7">
        <v>2281587.0</v>
      </c>
      <c r="O11" s="7">
        <v>808950.0</v>
      </c>
    </row>
    <row r="12" ht="22.5" customHeight="1">
      <c r="A12" s="3">
        <v>46023.0</v>
      </c>
      <c r="B12" s="4">
        <v>64.0</v>
      </c>
      <c r="C12" s="5" t="s">
        <v>25</v>
      </c>
      <c r="D12" s="6">
        <v>1.2E7</v>
      </c>
      <c r="E12" s="7">
        <f t="shared" si="1"/>
        <v>583500</v>
      </c>
      <c r="F12" s="4">
        <f t="shared" si="2"/>
        <v>0.048625</v>
      </c>
      <c r="G12" s="4">
        <v>1907700.0</v>
      </c>
      <c r="H12" s="7">
        <v>583500.0</v>
      </c>
      <c r="I12" s="4">
        <v>35700.0</v>
      </c>
      <c r="J12" s="4">
        <v>0.0</v>
      </c>
      <c r="K12" s="4">
        <v>546850.0</v>
      </c>
      <c r="L12" s="4">
        <v>0.0</v>
      </c>
      <c r="M12" s="4">
        <v>0.0</v>
      </c>
      <c r="N12" s="7">
        <v>1908650.0</v>
      </c>
      <c r="O12" s="7">
        <v>328500.0</v>
      </c>
    </row>
    <row r="13" ht="22.5" customHeight="1">
      <c r="A13" s="3">
        <v>46023.0</v>
      </c>
      <c r="B13" s="4">
        <v>71.0</v>
      </c>
      <c r="C13" s="5" t="s">
        <v>26</v>
      </c>
      <c r="D13" s="6">
        <v>1.8E7</v>
      </c>
      <c r="E13" s="7">
        <f t="shared" si="1"/>
        <v>1423150</v>
      </c>
      <c r="F13" s="4">
        <f t="shared" si="2"/>
        <v>0.07906388889</v>
      </c>
      <c r="G13" s="4">
        <v>1586724.2</v>
      </c>
      <c r="H13" s="7">
        <v>1423150.0</v>
      </c>
      <c r="I13" s="4">
        <v>0.0</v>
      </c>
      <c r="J13" s="4">
        <v>0.0</v>
      </c>
      <c r="K13" s="4">
        <v>227700.0</v>
      </c>
      <c r="L13" s="4">
        <v>0.0</v>
      </c>
      <c r="M13" s="4">
        <v>0.0</v>
      </c>
      <c r="N13" s="7">
        <v>2782174.2</v>
      </c>
      <c r="O13" s="7">
        <v>589164.2</v>
      </c>
    </row>
    <row r="14" ht="22.5" customHeight="1">
      <c r="A14" s="3">
        <v>46023.0</v>
      </c>
      <c r="B14" s="4">
        <v>72.0</v>
      </c>
      <c r="C14" s="5" t="s">
        <v>27</v>
      </c>
      <c r="D14" s="6">
        <v>1.6E7</v>
      </c>
      <c r="E14" s="7">
        <f t="shared" si="1"/>
        <v>874650</v>
      </c>
      <c r="F14" s="4">
        <f t="shared" si="2"/>
        <v>0.054665625</v>
      </c>
      <c r="G14" s="4">
        <v>2181355.0</v>
      </c>
      <c r="H14" s="7">
        <v>874650.0</v>
      </c>
      <c r="I14" s="4">
        <v>0.0</v>
      </c>
      <c r="J14" s="4">
        <v>0.0</v>
      </c>
      <c r="K14" s="4">
        <v>97400.0</v>
      </c>
      <c r="L14" s="4">
        <v>0.0</v>
      </c>
      <c r="M14" s="4">
        <v>0.0</v>
      </c>
      <c r="N14" s="7">
        <v>2958605.0</v>
      </c>
      <c r="O14" s="7">
        <v>405758.0</v>
      </c>
    </row>
    <row r="15" ht="22.5" customHeight="1">
      <c r="A15" s="3">
        <v>46024.0</v>
      </c>
      <c r="B15" s="8">
        <v>10.0</v>
      </c>
      <c r="C15" s="9" t="s">
        <v>15</v>
      </c>
      <c r="D15" s="6">
        <v>1.6E7</v>
      </c>
      <c r="E15" s="7">
        <f t="shared" si="1"/>
        <v>556000</v>
      </c>
      <c r="F15" s="4">
        <f t="shared" si="2"/>
        <v>0.03475</v>
      </c>
      <c r="G15" s="8">
        <v>3564191.55</v>
      </c>
      <c r="H15" s="10">
        <v>556000.0</v>
      </c>
      <c r="I15" s="8">
        <v>148700.0</v>
      </c>
      <c r="J15" s="8">
        <v>0.0</v>
      </c>
      <c r="K15" s="8">
        <v>280856.0</v>
      </c>
      <c r="L15" s="8">
        <v>0.0</v>
      </c>
      <c r="M15" s="8">
        <v>0.0</v>
      </c>
      <c r="N15" s="10">
        <v>3690635.55</v>
      </c>
      <c r="O15" s="10">
        <v>421000.0</v>
      </c>
    </row>
    <row r="16" ht="22.5" customHeight="1">
      <c r="A16" s="3">
        <v>46024.0</v>
      </c>
      <c r="B16" s="8">
        <v>20.0</v>
      </c>
      <c r="C16" s="9" t="s">
        <v>16</v>
      </c>
      <c r="D16" s="6">
        <v>1.6E7</v>
      </c>
      <c r="E16" s="7">
        <f t="shared" si="1"/>
        <v>1209930</v>
      </c>
      <c r="F16" s="4">
        <f t="shared" si="2"/>
        <v>0.075620625</v>
      </c>
      <c r="G16" s="8">
        <v>2805087.0</v>
      </c>
      <c r="H16" s="10">
        <v>1209930.0</v>
      </c>
      <c r="I16" s="8">
        <v>48640.0</v>
      </c>
      <c r="J16" s="8">
        <v>0.0</v>
      </c>
      <c r="K16" s="8">
        <v>359500.0</v>
      </c>
      <c r="L16" s="8">
        <v>0.0</v>
      </c>
      <c r="M16" s="8">
        <v>0.0</v>
      </c>
      <c r="N16" s="10">
        <v>3606877.0</v>
      </c>
      <c r="O16" s="10">
        <v>1136730.0</v>
      </c>
    </row>
    <row r="17" ht="22.5" customHeight="1">
      <c r="A17" s="3">
        <v>46024.0</v>
      </c>
      <c r="B17" s="8">
        <v>21.0</v>
      </c>
      <c r="C17" s="9" t="s">
        <v>17</v>
      </c>
      <c r="D17" s="6">
        <v>2.7E7</v>
      </c>
      <c r="E17" s="7">
        <f t="shared" si="1"/>
        <v>606700</v>
      </c>
      <c r="F17" s="4">
        <f t="shared" si="2"/>
        <v>0.02247037037</v>
      </c>
      <c r="G17" s="8">
        <v>4305194.8</v>
      </c>
      <c r="H17" s="10">
        <v>606700.0</v>
      </c>
      <c r="I17" s="8">
        <v>17600.0</v>
      </c>
      <c r="J17" s="8">
        <v>0.0</v>
      </c>
      <c r="K17" s="8">
        <v>503610.0</v>
      </c>
      <c r="L17" s="8">
        <v>0.0</v>
      </c>
      <c r="M17" s="8">
        <v>0.0</v>
      </c>
      <c r="N17" s="10">
        <v>4390684.8</v>
      </c>
      <c r="O17" s="10">
        <v>572210.0</v>
      </c>
    </row>
    <row r="18" ht="22.5" customHeight="1">
      <c r="A18" s="3">
        <v>46024.0</v>
      </c>
      <c r="B18" s="8">
        <v>30.0</v>
      </c>
      <c r="C18" s="9" t="s">
        <v>18</v>
      </c>
      <c r="D18" s="6">
        <v>2.7E7</v>
      </c>
      <c r="E18" s="7">
        <f t="shared" si="1"/>
        <v>418201.8</v>
      </c>
      <c r="F18" s="4">
        <f t="shared" si="2"/>
        <v>0.01548895556</v>
      </c>
      <c r="G18" s="8">
        <v>2724651.08</v>
      </c>
      <c r="H18" s="10">
        <v>418201.8</v>
      </c>
      <c r="I18" s="8">
        <v>23000.0</v>
      </c>
      <c r="J18" s="8">
        <v>0.0</v>
      </c>
      <c r="K18" s="8">
        <v>402650.0</v>
      </c>
      <c r="L18" s="8">
        <v>300000.0</v>
      </c>
      <c r="M18" s="8">
        <v>8167.0</v>
      </c>
      <c r="N18" s="10">
        <v>3009035.88</v>
      </c>
      <c r="O18" s="10">
        <v>157302.88</v>
      </c>
    </row>
    <row r="19" ht="22.5" customHeight="1">
      <c r="A19" s="3">
        <v>46024.0</v>
      </c>
      <c r="B19" s="8">
        <v>31.0</v>
      </c>
      <c r="C19" s="9" t="s">
        <v>19</v>
      </c>
      <c r="D19" s="6">
        <v>1.7E7</v>
      </c>
      <c r="E19" s="7">
        <f t="shared" si="1"/>
        <v>226500</v>
      </c>
      <c r="F19" s="4">
        <f t="shared" si="2"/>
        <v>0.01332352941</v>
      </c>
      <c r="G19" s="8">
        <v>835864.0</v>
      </c>
      <c r="H19" s="10">
        <v>226500.0</v>
      </c>
      <c r="I19" s="8">
        <v>18460.0</v>
      </c>
      <c r="J19" s="8">
        <v>0.0</v>
      </c>
      <c r="K19" s="8">
        <v>171200.0</v>
      </c>
      <c r="L19" s="8">
        <v>0.0</v>
      </c>
      <c r="M19" s="8">
        <v>0.0</v>
      </c>
      <c r="N19" s="10">
        <v>872704.0</v>
      </c>
      <c r="O19" s="10">
        <v>110900.0</v>
      </c>
    </row>
    <row r="20" ht="22.5" customHeight="1">
      <c r="A20" s="3">
        <v>46024.0</v>
      </c>
      <c r="B20" s="8">
        <v>40.0</v>
      </c>
      <c r="C20" s="9" t="s">
        <v>20</v>
      </c>
      <c r="D20" s="6">
        <v>1.7E8</v>
      </c>
      <c r="E20" s="7">
        <f t="shared" si="1"/>
        <v>1590970</v>
      </c>
      <c r="F20" s="4">
        <f t="shared" si="2"/>
        <v>0.009358647059</v>
      </c>
      <c r="G20" s="8">
        <v>4291645.0</v>
      </c>
      <c r="H20" s="10">
        <v>1590970.0</v>
      </c>
      <c r="I20" s="8">
        <v>349576.0</v>
      </c>
      <c r="J20" s="8">
        <v>0.0</v>
      </c>
      <c r="K20" s="8">
        <v>297450.0</v>
      </c>
      <c r="L20" s="8">
        <v>0.0</v>
      </c>
      <c r="M20" s="8">
        <v>0.0</v>
      </c>
      <c r="N20" s="10">
        <v>5235589.0</v>
      </c>
      <c r="O20" s="10">
        <v>1590970.0</v>
      </c>
    </row>
    <row r="21" ht="22.5" customHeight="1">
      <c r="A21" s="3">
        <v>46024.0</v>
      </c>
      <c r="B21" s="8">
        <v>51.0</v>
      </c>
      <c r="C21" s="9" t="s">
        <v>21</v>
      </c>
      <c r="D21" s="6">
        <v>1.8E7</v>
      </c>
      <c r="E21" s="7">
        <f t="shared" si="1"/>
        <v>446400</v>
      </c>
      <c r="F21" s="4">
        <f t="shared" si="2"/>
        <v>0.0248</v>
      </c>
      <c r="G21" s="8">
        <v>1382154.7</v>
      </c>
      <c r="H21" s="10">
        <v>446400.0</v>
      </c>
      <c r="I21" s="8">
        <v>56400.0</v>
      </c>
      <c r="J21" s="8">
        <v>0.0</v>
      </c>
      <c r="K21" s="8">
        <v>70800.0</v>
      </c>
      <c r="L21" s="8">
        <v>0.0</v>
      </c>
      <c r="M21" s="8">
        <v>0.0</v>
      </c>
      <c r="N21" s="10">
        <v>1701354.7</v>
      </c>
      <c r="O21" s="10">
        <v>407000.0</v>
      </c>
    </row>
    <row r="22" ht="22.5" customHeight="1">
      <c r="A22" s="3">
        <v>46024.0</v>
      </c>
      <c r="B22" s="8">
        <v>52.0</v>
      </c>
      <c r="C22" s="9" t="s">
        <v>22</v>
      </c>
      <c r="D22" s="6">
        <v>1.8E7</v>
      </c>
      <c r="E22" s="7">
        <f t="shared" si="1"/>
        <v>482700</v>
      </c>
      <c r="F22" s="4">
        <f t="shared" si="2"/>
        <v>0.02681666667</v>
      </c>
      <c r="G22" s="8">
        <v>1429183.0</v>
      </c>
      <c r="H22" s="10">
        <v>482700.0</v>
      </c>
      <c r="I22" s="8">
        <v>325550.0</v>
      </c>
      <c r="J22" s="8">
        <v>0.0</v>
      </c>
      <c r="K22" s="8">
        <v>139800.0</v>
      </c>
      <c r="L22" s="8">
        <v>0.0</v>
      </c>
      <c r="M22" s="8">
        <v>0.0</v>
      </c>
      <c r="N22" s="10">
        <v>1446533.0</v>
      </c>
      <c r="O22" s="10">
        <v>312700.0</v>
      </c>
    </row>
    <row r="23" ht="22.5" customHeight="1">
      <c r="A23" s="3">
        <v>46024.0</v>
      </c>
      <c r="B23" s="8">
        <v>61.0</v>
      </c>
      <c r="C23" s="9" t="s">
        <v>23</v>
      </c>
      <c r="D23" s="6">
        <v>1.8E7</v>
      </c>
      <c r="E23" s="7">
        <f t="shared" si="1"/>
        <v>1401300</v>
      </c>
      <c r="F23" s="4">
        <f t="shared" si="2"/>
        <v>0.07785</v>
      </c>
      <c r="G23" s="8">
        <v>1302090.0</v>
      </c>
      <c r="H23" s="10">
        <v>1401300.0</v>
      </c>
      <c r="I23" s="8">
        <v>0.0</v>
      </c>
      <c r="J23" s="8">
        <v>0.0</v>
      </c>
      <c r="K23" s="8">
        <v>1042500.0</v>
      </c>
      <c r="L23" s="8">
        <v>0.0</v>
      </c>
      <c r="M23" s="8">
        <v>0.0</v>
      </c>
      <c r="N23" s="10">
        <v>1660890.0</v>
      </c>
      <c r="O23" s="10">
        <v>268800.0</v>
      </c>
    </row>
    <row r="24" ht="22.5" customHeight="1">
      <c r="A24" s="3">
        <v>46024.0</v>
      </c>
      <c r="B24" s="8">
        <v>63.0</v>
      </c>
      <c r="C24" s="9" t="s">
        <v>24</v>
      </c>
      <c r="D24" s="6">
        <v>1.8E7</v>
      </c>
      <c r="E24" s="7">
        <f t="shared" si="1"/>
        <v>1958550</v>
      </c>
      <c r="F24" s="4">
        <f t="shared" si="2"/>
        <v>0.1088083333</v>
      </c>
      <c r="G24" s="8">
        <v>2281587.0</v>
      </c>
      <c r="H24" s="10">
        <v>1958550.0</v>
      </c>
      <c r="I24" s="8">
        <v>81600.0</v>
      </c>
      <c r="J24" s="8">
        <v>0.0</v>
      </c>
      <c r="K24" s="8">
        <v>195760.0</v>
      </c>
      <c r="L24" s="8">
        <v>0.0</v>
      </c>
      <c r="M24" s="8">
        <v>0.0</v>
      </c>
      <c r="N24" s="10">
        <v>3962777.0</v>
      </c>
      <c r="O24" s="10">
        <v>1703950.0</v>
      </c>
    </row>
    <row r="25" ht="22.5" customHeight="1">
      <c r="A25" s="3">
        <v>46024.0</v>
      </c>
      <c r="B25" s="8">
        <v>64.0</v>
      </c>
      <c r="C25" s="9" t="s">
        <v>25</v>
      </c>
      <c r="D25" s="6">
        <v>1.2E7</v>
      </c>
      <c r="E25" s="7">
        <f t="shared" si="1"/>
        <v>1089500</v>
      </c>
      <c r="F25" s="4">
        <f t="shared" si="2"/>
        <v>0.09079166667</v>
      </c>
      <c r="G25" s="8">
        <v>1908650.0</v>
      </c>
      <c r="H25" s="10">
        <v>1089500.0</v>
      </c>
      <c r="I25" s="8">
        <v>4800.0</v>
      </c>
      <c r="J25" s="8">
        <v>0.0</v>
      </c>
      <c r="K25" s="8">
        <v>353000.0</v>
      </c>
      <c r="L25" s="8">
        <v>0.0</v>
      </c>
      <c r="M25" s="8">
        <v>0.0</v>
      </c>
      <c r="N25" s="10">
        <v>2640350.0</v>
      </c>
      <c r="O25" s="10">
        <v>1054100.0</v>
      </c>
    </row>
    <row r="26" ht="22.5" customHeight="1">
      <c r="A26" s="3">
        <v>46024.0</v>
      </c>
      <c r="B26" s="8">
        <v>71.0</v>
      </c>
      <c r="C26" s="9" t="s">
        <v>26</v>
      </c>
      <c r="D26" s="6">
        <v>1.2E7</v>
      </c>
      <c r="E26" s="7">
        <f t="shared" si="1"/>
        <v>1898800</v>
      </c>
      <c r="F26" s="4">
        <f t="shared" si="2"/>
        <v>0.1582333333</v>
      </c>
      <c r="G26" s="8">
        <v>2782174.2</v>
      </c>
      <c r="H26" s="10">
        <v>1898800.0</v>
      </c>
      <c r="I26" s="8">
        <v>0.0</v>
      </c>
      <c r="J26" s="8">
        <v>0.0</v>
      </c>
      <c r="K26" s="8">
        <v>425000.0</v>
      </c>
      <c r="L26" s="8">
        <v>0.0</v>
      </c>
      <c r="M26" s="8">
        <v>28000.0</v>
      </c>
      <c r="N26" s="10">
        <v>4227974.2</v>
      </c>
      <c r="O26" s="10">
        <v>1546560.0</v>
      </c>
    </row>
    <row r="27" ht="22.5" customHeight="1">
      <c r="A27" s="3">
        <v>46024.0</v>
      </c>
      <c r="B27" s="8">
        <v>72.0</v>
      </c>
      <c r="C27" s="9" t="s">
        <v>27</v>
      </c>
      <c r="D27" s="6">
        <v>1.8E7</v>
      </c>
      <c r="E27" s="7">
        <f t="shared" si="1"/>
        <v>790220</v>
      </c>
      <c r="F27" s="4">
        <f t="shared" si="2"/>
        <v>0.04390111111</v>
      </c>
      <c r="G27" s="8">
        <v>2958605.0</v>
      </c>
      <c r="H27" s="10">
        <v>790220.0</v>
      </c>
      <c r="I27" s="8">
        <v>5100.0</v>
      </c>
      <c r="J27" s="8">
        <v>0.0</v>
      </c>
      <c r="K27" s="8">
        <v>494005.0</v>
      </c>
      <c r="L27" s="8">
        <v>0.0</v>
      </c>
      <c r="M27" s="8">
        <v>0.0</v>
      </c>
      <c r="N27" s="10">
        <v>3249720.0</v>
      </c>
      <c r="O27" s="10">
        <v>698800.0</v>
      </c>
    </row>
    <row r="28" ht="22.5" customHeight="1">
      <c r="A28" s="3">
        <v>46025.0</v>
      </c>
      <c r="B28" s="8">
        <v>10.0</v>
      </c>
      <c r="C28" s="9" t="s">
        <v>15</v>
      </c>
      <c r="D28" s="6">
        <v>1.6E7</v>
      </c>
      <c r="E28" s="7">
        <f t="shared" si="1"/>
        <v>248350</v>
      </c>
      <c r="F28" s="4">
        <f t="shared" si="2"/>
        <v>0.015521875</v>
      </c>
      <c r="G28" s="8">
        <v>3690635.55</v>
      </c>
      <c r="H28" s="10">
        <v>248400.0</v>
      </c>
      <c r="I28" s="8">
        <v>104554.0</v>
      </c>
      <c r="J28" s="8">
        <v>50.0</v>
      </c>
      <c r="K28" s="8">
        <v>483240.0</v>
      </c>
      <c r="L28" s="8">
        <v>0.0</v>
      </c>
      <c r="M28" s="8">
        <v>6003.0</v>
      </c>
      <c r="N28" s="10">
        <v>3345288.55</v>
      </c>
      <c r="O28" s="10">
        <v>162000.0</v>
      </c>
    </row>
    <row r="29" ht="22.5" customHeight="1">
      <c r="A29" s="3">
        <v>46025.0</v>
      </c>
      <c r="B29" s="8">
        <v>15.0</v>
      </c>
      <c r="C29" s="9" t="s">
        <v>28</v>
      </c>
      <c r="D29" s="6">
        <v>1.6E7</v>
      </c>
      <c r="E29" s="7">
        <f t="shared" si="1"/>
        <v>160000</v>
      </c>
      <c r="F29" s="4">
        <f t="shared" si="2"/>
        <v>0.01</v>
      </c>
      <c r="G29" s="8">
        <v>0.0</v>
      </c>
      <c r="H29" s="10">
        <v>160000.0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10">
        <v>160000.0</v>
      </c>
      <c r="O29" s="10">
        <v>160000.0</v>
      </c>
    </row>
    <row r="30" ht="22.5" customHeight="1">
      <c r="A30" s="3">
        <v>46025.0</v>
      </c>
      <c r="B30" s="8">
        <v>20.0</v>
      </c>
      <c r="C30" s="9" t="s">
        <v>16</v>
      </c>
      <c r="D30" s="6">
        <v>1.6E7</v>
      </c>
      <c r="E30" s="7">
        <f t="shared" si="1"/>
        <v>1153050</v>
      </c>
      <c r="F30" s="4">
        <f t="shared" si="2"/>
        <v>0.072065625</v>
      </c>
      <c r="G30" s="8">
        <v>3606877.0</v>
      </c>
      <c r="H30" s="10">
        <v>1153050.0</v>
      </c>
      <c r="I30" s="8">
        <v>177815.0</v>
      </c>
      <c r="J30" s="8">
        <v>0.0</v>
      </c>
      <c r="K30" s="8">
        <v>359210.0</v>
      </c>
      <c r="L30" s="8">
        <v>0.0</v>
      </c>
      <c r="M30" s="8">
        <v>100.0</v>
      </c>
      <c r="N30" s="10">
        <v>4222802.0</v>
      </c>
      <c r="O30" s="10">
        <v>1038315.0</v>
      </c>
    </row>
    <row r="31" ht="22.5" customHeight="1">
      <c r="A31" s="3">
        <v>46025.0</v>
      </c>
      <c r="B31" s="8">
        <v>21.0</v>
      </c>
      <c r="C31" s="9" t="s">
        <v>17</v>
      </c>
      <c r="D31" s="6">
        <v>2.7E7</v>
      </c>
      <c r="E31" s="7">
        <f t="shared" si="1"/>
        <v>993600.09</v>
      </c>
      <c r="F31" s="4">
        <f t="shared" si="2"/>
        <v>0.03680000333</v>
      </c>
      <c r="G31" s="8">
        <v>4390684.8</v>
      </c>
      <c r="H31" s="10">
        <v>993600.09</v>
      </c>
      <c r="I31" s="8">
        <v>287140.0</v>
      </c>
      <c r="J31" s="8">
        <v>0.0</v>
      </c>
      <c r="K31" s="8">
        <v>360600.0</v>
      </c>
      <c r="L31" s="8">
        <v>0.0</v>
      </c>
      <c r="M31" s="8">
        <v>530.0</v>
      </c>
      <c r="N31" s="10">
        <v>4736014.89</v>
      </c>
      <c r="O31" s="10">
        <v>953600.09</v>
      </c>
    </row>
    <row r="32" ht="22.5" customHeight="1">
      <c r="A32" s="3">
        <v>46025.0</v>
      </c>
      <c r="B32" s="8">
        <v>30.0</v>
      </c>
      <c r="C32" s="9" t="s">
        <v>18</v>
      </c>
      <c r="D32" s="6">
        <v>2.7E7</v>
      </c>
      <c r="E32" s="7">
        <f t="shared" si="1"/>
        <v>537550</v>
      </c>
      <c r="F32" s="4">
        <f t="shared" si="2"/>
        <v>0.01990925926</v>
      </c>
      <c r="G32" s="8">
        <v>3009035.88</v>
      </c>
      <c r="H32" s="10">
        <v>537550.0</v>
      </c>
      <c r="I32" s="8">
        <v>199730.0</v>
      </c>
      <c r="J32" s="8">
        <v>0.0</v>
      </c>
      <c r="K32" s="8">
        <v>466808.0</v>
      </c>
      <c r="L32" s="8">
        <v>0.0</v>
      </c>
      <c r="M32" s="8">
        <v>0.0</v>
      </c>
      <c r="N32" s="10">
        <v>2880047.88</v>
      </c>
      <c r="O32" s="10">
        <v>515575.0</v>
      </c>
    </row>
    <row r="33" ht="22.5" customHeight="1">
      <c r="A33" s="3">
        <v>46025.0</v>
      </c>
      <c r="B33" s="8">
        <v>31.0</v>
      </c>
      <c r="C33" s="9" t="s">
        <v>19</v>
      </c>
      <c r="D33" s="6">
        <v>1.7E7</v>
      </c>
      <c r="E33" s="7">
        <f t="shared" si="1"/>
        <v>112200</v>
      </c>
      <c r="F33" s="4">
        <f t="shared" si="2"/>
        <v>0.0066</v>
      </c>
      <c r="G33" s="8">
        <v>872704.0</v>
      </c>
      <c r="H33" s="10">
        <v>112200.0</v>
      </c>
      <c r="I33" s="8">
        <v>146310.0</v>
      </c>
      <c r="J33" s="8">
        <v>0.0</v>
      </c>
      <c r="K33" s="8">
        <v>156300.0</v>
      </c>
      <c r="L33" s="8">
        <v>0.0</v>
      </c>
      <c r="M33" s="8">
        <v>0.0</v>
      </c>
      <c r="N33" s="10">
        <v>682294.0</v>
      </c>
      <c r="O33" s="10">
        <v>71100.0</v>
      </c>
    </row>
    <row r="34" ht="22.5" customHeight="1">
      <c r="A34" s="3">
        <v>46025.0</v>
      </c>
      <c r="B34" s="8">
        <v>40.0</v>
      </c>
      <c r="C34" s="9" t="s">
        <v>20</v>
      </c>
      <c r="D34" s="6">
        <v>1.7E8</v>
      </c>
      <c r="E34" s="7">
        <f t="shared" si="1"/>
        <v>828200</v>
      </c>
      <c r="F34" s="4">
        <f t="shared" si="2"/>
        <v>0.004871764706</v>
      </c>
      <c r="G34" s="8">
        <v>5235589.0</v>
      </c>
      <c r="H34" s="10">
        <v>828200.0</v>
      </c>
      <c r="I34" s="8">
        <v>84470.0</v>
      </c>
      <c r="J34" s="8">
        <v>0.0</v>
      </c>
      <c r="K34" s="8">
        <v>683300.0</v>
      </c>
      <c r="L34" s="8">
        <v>300000.0</v>
      </c>
      <c r="M34" s="8">
        <v>1196.0</v>
      </c>
      <c r="N34" s="10">
        <v>5594823.0</v>
      </c>
      <c r="O34" s="10">
        <v>825400.0</v>
      </c>
    </row>
    <row r="35" ht="22.5" customHeight="1">
      <c r="A35" s="3">
        <v>46025.0</v>
      </c>
      <c r="B35" s="8">
        <v>51.0</v>
      </c>
      <c r="C35" s="9" t="s">
        <v>21</v>
      </c>
      <c r="D35" s="6">
        <v>1.8E7</v>
      </c>
      <c r="E35" s="7">
        <f t="shared" si="1"/>
        <v>377100</v>
      </c>
      <c r="F35" s="4">
        <f t="shared" si="2"/>
        <v>0.02095</v>
      </c>
      <c r="G35" s="8">
        <v>1701354.7</v>
      </c>
      <c r="H35" s="10">
        <v>377100.0</v>
      </c>
      <c r="I35" s="8">
        <v>307503.0</v>
      </c>
      <c r="J35" s="8">
        <v>0.0</v>
      </c>
      <c r="K35" s="8">
        <v>127500.0</v>
      </c>
      <c r="L35" s="8">
        <v>0.0</v>
      </c>
      <c r="M35" s="8">
        <v>0.0</v>
      </c>
      <c r="N35" s="10">
        <v>1643451.7</v>
      </c>
      <c r="O35" s="10">
        <v>358900.0</v>
      </c>
    </row>
    <row r="36" ht="22.5" customHeight="1">
      <c r="A36" s="3">
        <v>46025.0</v>
      </c>
      <c r="B36" s="8">
        <v>52.0</v>
      </c>
      <c r="C36" s="9" t="s">
        <v>22</v>
      </c>
      <c r="D36" s="6">
        <v>1.8E7</v>
      </c>
      <c r="E36" s="7">
        <f t="shared" si="1"/>
        <v>257300</v>
      </c>
      <c r="F36" s="4">
        <f t="shared" si="2"/>
        <v>0.01429444444</v>
      </c>
      <c r="G36" s="8">
        <v>1446533.0</v>
      </c>
      <c r="H36" s="10">
        <v>257300.0</v>
      </c>
      <c r="I36" s="8">
        <v>232900.0</v>
      </c>
      <c r="J36" s="8">
        <v>0.0</v>
      </c>
      <c r="K36" s="8">
        <v>146460.0</v>
      </c>
      <c r="L36" s="8">
        <v>0.0</v>
      </c>
      <c r="M36" s="8">
        <v>0.0</v>
      </c>
      <c r="N36" s="10">
        <v>1324473.0</v>
      </c>
      <c r="O36" s="10">
        <v>204950.0</v>
      </c>
    </row>
    <row r="37" ht="22.5" customHeight="1">
      <c r="A37" s="3">
        <v>46025.0</v>
      </c>
      <c r="B37" s="8">
        <v>61.0</v>
      </c>
      <c r="C37" s="9" t="s">
        <v>23</v>
      </c>
      <c r="D37" s="6">
        <v>1.8E7</v>
      </c>
      <c r="E37" s="7">
        <f t="shared" si="1"/>
        <v>22000</v>
      </c>
      <c r="F37" s="4">
        <f t="shared" si="2"/>
        <v>0.001222222222</v>
      </c>
      <c r="G37" s="8">
        <v>1660890.0</v>
      </c>
      <c r="H37" s="10">
        <v>22000.0</v>
      </c>
      <c r="I37" s="8">
        <v>0.0</v>
      </c>
      <c r="J37" s="8">
        <v>0.0</v>
      </c>
      <c r="K37" s="8">
        <v>122790.0</v>
      </c>
      <c r="L37" s="8">
        <v>0.0</v>
      </c>
      <c r="M37" s="8">
        <v>0.0</v>
      </c>
      <c r="N37" s="10">
        <v>1560100.0</v>
      </c>
      <c r="O37" s="10">
        <v>22000.0</v>
      </c>
    </row>
    <row r="38" ht="22.5" customHeight="1">
      <c r="A38" s="3">
        <v>46025.0</v>
      </c>
      <c r="B38" s="8">
        <v>63.0</v>
      </c>
      <c r="C38" s="9" t="s">
        <v>24</v>
      </c>
      <c r="D38" s="6">
        <v>1.8E7</v>
      </c>
      <c r="E38" s="7">
        <f t="shared" si="1"/>
        <v>1652900</v>
      </c>
      <c r="F38" s="4">
        <f t="shared" si="2"/>
        <v>0.09182777778</v>
      </c>
      <c r="G38" s="8">
        <v>3962777.0</v>
      </c>
      <c r="H38" s="10">
        <v>1652900.0</v>
      </c>
      <c r="I38" s="8">
        <v>326400.0</v>
      </c>
      <c r="J38" s="8">
        <v>0.0</v>
      </c>
      <c r="K38" s="8">
        <v>526220.0</v>
      </c>
      <c r="L38" s="8">
        <v>0.0</v>
      </c>
      <c r="M38" s="8">
        <v>0.0</v>
      </c>
      <c r="N38" s="10">
        <v>4763057.0</v>
      </c>
      <c r="O38" s="10">
        <v>1652900.0</v>
      </c>
    </row>
    <row r="39" ht="22.5" customHeight="1">
      <c r="A39" s="3">
        <v>46025.0</v>
      </c>
      <c r="B39" s="8">
        <v>64.0</v>
      </c>
      <c r="C39" s="9" t="s">
        <v>25</v>
      </c>
      <c r="D39" s="6">
        <v>1.2E7</v>
      </c>
      <c r="E39" s="7">
        <f t="shared" si="1"/>
        <v>839800</v>
      </c>
      <c r="F39" s="4">
        <f t="shared" si="2"/>
        <v>0.06998333333</v>
      </c>
      <c r="G39" s="8">
        <v>2640350.0</v>
      </c>
      <c r="H39" s="10">
        <v>839800.0</v>
      </c>
      <c r="I39" s="8">
        <v>33400.0</v>
      </c>
      <c r="J39" s="8">
        <v>0.0</v>
      </c>
      <c r="K39" s="8">
        <v>191200.0</v>
      </c>
      <c r="L39" s="8">
        <v>0.0</v>
      </c>
      <c r="M39" s="8">
        <v>100.0</v>
      </c>
      <c r="N39" s="10">
        <v>3255450.0</v>
      </c>
      <c r="O39" s="10">
        <v>839800.0</v>
      </c>
    </row>
    <row r="40" ht="22.5" customHeight="1">
      <c r="A40" s="3">
        <v>46025.0</v>
      </c>
      <c r="B40" s="8">
        <v>71.0</v>
      </c>
      <c r="C40" s="9" t="s">
        <v>26</v>
      </c>
      <c r="D40" s="6">
        <v>1.2E7</v>
      </c>
      <c r="E40" s="7">
        <f t="shared" si="1"/>
        <v>1886800</v>
      </c>
      <c r="F40" s="4">
        <f t="shared" si="2"/>
        <v>0.1572333333</v>
      </c>
      <c r="G40" s="8">
        <v>4227974.2</v>
      </c>
      <c r="H40" s="10">
        <v>1886800.0</v>
      </c>
      <c r="I40" s="8">
        <v>6800.0</v>
      </c>
      <c r="J40" s="8">
        <v>0.0</v>
      </c>
      <c r="K40" s="8">
        <v>1142000.0</v>
      </c>
      <c r="L40" s="8">
        <v>0.0</v>
      </c>
      <c r="M40" s="8">
        <v>0.0</v>
      </c>
      <c r="N40" s="10">
        <v>4965974.2</v>
      </c>
      <c r="O40" s="10">
        <v>1786150.0</v>
      </c>
    </row>
    <row r="41" ht="22.5" customHeight="1">
      <c r="A41" s="3">
        <v>46025.0</v>
      </c>
      <c r="B41" s="8">
        <v>72.0</v>
      </c>
      <c r="C41" s="9" t="s">
        <v>27</v>
      </c>
      <c r="D41" s="6">
        <v>1.8E7</v>
      </c>
      <c r="E41" s="7">
        <f t="shared" si="1"/>
        <v>593900</v>
      </c>
      <c r="F41" s="4">
        <f t="shared" si="2"/>
        <v>0.03299444444</v>
      </c>
      <c r="G41" s="8">
        <v>3249720.0</v>
      </c>
      <c r="H41" s="10">
        <v>593900.0</v>
      </c>
      <c r="I41" s="8">
        <v>109476.0</v>
      </c>
      <c r="J41" s="8">
        <v>0.0</v>
      </c>
      <c r="K41" s="8">
        <v>608580.0</v>
      </c>
      <c r="L41" s="8">
        <v>0.0</v>
      </c>
      <c r="M41" s="8">
        <v>0.0</v>
      </c>
      <c r="N41" s="10">
        <v>3125564.0</v>
      </c>
      <c r="O41" s="10">
        <v>593900.0</v>
      </c>
    </row>
    <row r="42" ht="22.5" customHeight="1">
      <c r="A42" s="3">
        <v>46026.0</v>
      </c>
      <c r="B42" s="8">
        <v>10.0</v>
      </c>
      <c r="C42" s="9" t="s">
        <v>15</v>
      </c>
      <c r="D42" s="6">
        <v>1.6E7</v>
      </c>
      <c r="E42" s="7">
        <f t="shared" si="1"/>
        <v>1144000</v>
      </c>
      <c r="F42" s="4">
        <f t="shared" si="2"/>
        <v>0.0715</v>
      </c>
      <c r="G42" s="8">
        <v>3345288.55</v>
      </c>
      <c r="H42" s="10">
        <v>1144000.0</v>
      </c>
      <c r="I42" s="8">
        <v>162200.0</v>
      </c>
      <c r="J42" s="8">
        <v>0.0</v>
      </c>
      <c r="K42" s="8">
        <v>440275.0</v>
      </c>
      <c r="L42" s="8">
        <v>0.0</v>
      </c>
      <c r="M42" s="8">
        <v>3000.0</v>
      </c>
      <c r="N42" s="10">
        <v>3883813.55</v>
      </c>
      <c r="O42" s="10">
        <v>910885.0</v>
      </c>
    </row>
    <row r="43" ht="22.5" customHeight="1">
      <c r="A43" s="3">
        <v>46026.0</v>
      </c>
      <c r="B43" s="8">
        <v>15.0</v>
      </c>
      <c r="C43" s="9" t="s">
        <v>28</v>
      </c>
      <c r="D43" s="6">
        <v>1.6E7</v>
      </c>
      <c r="E43" s="7">
        <f t="shared" si="1"/>
        <v>526000</v>
      </c>
      <c r="F43" s="4">
        <f t="shared" si="2"/>
        <v>0.032875</v>
      </c>
      <c r="G43" s="8">
        <v>160000.0</v>
      </c>
      <c r="H43" s="10">
        <v>526000.0</v>
      </c>
      <c r="I43" s="8">
        <v>0.0</v>
      </c>
      <c r="J43" s="8">
        <v>0.0</v>
      </c>
      <c r="K43" s="8">
        <v>0.0</v>
      </c>
      <c r="L43" s="8">
        <v>0.0</v>
      </c>
      <c r="M43" s="8">
        <v>0.0</v>
      </c>
      <c r="N43" s="10">
        <v>686000.0</v>
      </c>
      <c r="O43" s="10">
        <v>526000.0</v>
      </c>
    </row>
    <row r="44" ht="22.5" customHeight="1">
      <c r="A44" s="3">
        <v>46026.0</v>
      </c>
      <c r="B44" s="8">
        <v>20.0</v>
      </c>
      <c r="C44" s="9" t="s">
        <v>16</v>
      </c>
      <c r="D44" s="6">
        <v>1.6E7</v>
      </c>
      <c r="E44" s="7">
        <f t="shared" si="1"/>
        <v>1719650</v>
      </c>
      <c r="F44" s="4">
        <f t="shared" si="2"/>
        <v>0.107478125</v>
      </c>
      <c r="G44" s="8">
        <v>4222802.0</v>
      </c>
      <c r="H44" s="10">
        <v>1719650.0</v>
      </c>
      <c r="I44" s="8">
        <v>60880.0</v>
      </c>
      <c r="J44" s="8">
        <v>0.0</v>
      </c>
      <c r="K44" s="8">
        <v>648650.0</v>
      </c>
      <c r="L44" s="8">
        <v>0.0</v>
      </c>
      <c r="M44" s="8">
        <v>0.0</v>
      </c>
      <c r="N44" s="10">
        <v>5232922.0</v>
      </c>
      <c r="O44" s="10">
        <v>1708050.0</v>
      </c>
    </row>
    <row r="45" ht="22.5" customHeight="1">
      <c r="A45" s="3">
        <v>46026.0</v>
      </c>
      <c r="B45" s="8">
        <v>21.0</v>
      </c>
      <c r="C45" s="9" t="s">
        <v>17</v>
      </c>
      <c r="D45" s="6">
        <v>2.7E7</v>
      </c>
      <c r="E45" s="7">
        <f t="shared" si="1"/>
        <v>1075299.84</v>
      </c>
      <c r="F45" s="4">
        <f t="shared" si="2"/>
        <v>0.03982592</v>
      </c>
      <c r="G45" s="8">
        <v>4736014.89</v>
      </c>
      <c r="H45" s="10">
        <v>1075299.84</v>
      </c>
      <c r="I45" s="8">
        <v>348445.0</v>
      </c>
      <c r="J45" s="8">
        <v>0.0</v>
      </c>
      <c r="K45" s="8">
        <v>630050.0</v>
      </c>
      <c r="L45" s="8">
        <v>0.0</v>
      </c>
      <c r="M45" s="8">
        <v>0.0</v>
      </c>
      <c r="N45" s="10">
        <v>4832819.73</v>
      </c>
      <c r="O45" s="10">
        <v>1072504.84</v>
      </c>
    </row>
    <row r="46" ht="22.5" customHeight="1">
      <c r="A46" s="3">
        <v>46026.0</v>
      </c>
      <c r="B46" s="8">
        <v>30.0</v>
      </c>
      <c r="C46" s="9" t="s">
        <v>18</v>
      </c>
      <c r="D46" s="6">
        <v>2.7E7</v>
      </c>
      <c r="E46" s="7">
        <f t="shared" si="1"/>
        <v>585220</v>
      </c>
      <c r="F46" s="4">
        <f t="shared" si="2"/>
        <v>0.02167481481</v>
      </c>
      <c r="G46" s="8">
        <v>2880047.88</v>
      </c>
      <c r="H46" s="10">
        <v>585220.0</v>
      </c>
      <c r="I46" s="8">
        <v>42060.0</v>
      </c>
      <c r="J46" s="8">
        <v>0.0</v>
      </c>
      <c r="K46" s="8">
        <v>362120.0</v>
      </c>
      <c r="L46" s="8">
        <v>0.0</v>
      </c>
      <c r="M46" s="8">
        <v>0.0</v>
      </c>
      <c r="N46" s="10">
        <v>3061087.88</v>
      </c>
      <c r="O46" s="10">
        <v>585220.0</v>
      </c>
    </row>
    <row r="47" ht="22.5" customHeight="1">
      <c r="A47" s="3">
        <v>46026.0</v>
      </c>
      <c r="B47" s="8">
        <v>31.0</v>
      </c>
      <c r="C47" s="9" t="s">
        <v>19</v>
      </c>
      <c r="D47" s="6">
        <v>1.7E7</v>
      </c>
      <c r="E47" s="7">
        <f t="shared" si="1"/>
        <v>506950</v>
      </c>
      <c r="F47" s="4">
        <f t="shared" si="2"/>
        <v>0.02982058824</v>
      </c>
      <c r="G47" s="8">
        <v>682294.0</v>
      </c>
      <c r="H47" s="10">
        <v>506950.0</v>
      </c>
      <c r="I47" s="8">
        <v>0.0</v>
      </c>
      <c r="J47" s="8">
        <v>0.0</v>
      </c>
      <c r="K47" s="8">
        <v>191100.0</v>
      </c>
      <c r="L47" s="8">
        <v>0.0</v>
      </c>
      <c r="M47" s="8">
        <v>0.0</v>
      </c>
      <c r="N47" s="10">
        <v>998144.0</v>
      </c>
      <c r="O47" s="10">
        <v>498950.0</v>
      </c>
    </row>
    <row r="48" ht="22.5" customHeight="1">
      <c r="A48" s="3">
        <v>46026.0</v>
      </c>
      <c r="B48" s="8">
        <v>40.0</v>
      </c>
      <c r="C48" s="9" t="s">
        <v>20</v>
      </c>
      <c r="D48" s="6">
        <v>1.7E8</v>
      </c>
      <c r="E48" s="7">
        <f t="shared" si="1"/>
        <v>419150</v>
      </c>
      <c r="F48" s="4">
        <f t="shared" si="2"/>
        <v>0.002465588235</v>
      </c>
      <c r="G48" s="8">
        <v>5594823.0</v>
      </c>
      <c r="H48" s="10">
        <v>419150.0</v>
      </c>
      <c r="I48" s="8">
        <v>7392.0</v>
      </c>
      <c r="J48" s="8">
        <v>0.0</v>
      </c>
      <c r="K48" s="8">
        <v>207000.0</v>
      </c>
      <c r="L48" s="8">
        <v>0.0</v>
      </c>
      <c r="M48" s="8">
        <v>0.0</v>
      </c>
      <c r="N48" s="10">
        <v>5799581.0</v>
      </c>
      <c r="O48" s="10">
        <v>419150.0</v>
      </c>
    </row>
    <row r="49" ht="22.5" customHeight="1">
      <c r="A49" s="3">
        <v>46026.0</v>
      </c>
      <c r="B49" s="8">
        <v>51.0</v>
      </c>
      <c r="C49" s="9" t="s">
        <v>21</v>
      </c>
      <c r="D49" s="6">
        <v>1.8E7</v>
      </c>
      <c r="E49" s="7">
        <f t="shared" si="1"/>
        <v>528792.5</v>
      </c>
      <c r="F49" s="4">
        <f t="shared" si="2"/>
        <v>0.02937736111</v>
      </c>
      <c r="G49" s="8">
        <v>1643451.7</v>
      </c>
      <c r="H49" s="10">
        <v>528792.5</v>
      </c>
      <c r="I49" s="8">
        <v>0.0</v>
      </c>
      <c r="J49" s="8">
        <v>0.0</v>
      </c>
      <c r="K49" s="8">
        <v>70300.0</v>
      </c>
      <c r="L49" s="8">
        <v>0.0</v>
      </c>
      <c r="M49" s="8">
        <v>0.0</v>
      </c>
      <c r="N49" s="10">
        <v>2101944.2</v>
      </c>
      <c r="O49" s="10">
        <v>528792.5</v>
      </c>
    </row>
    <row r="50" ht="22.5" customHeight="1">
      <c r="A50" s="3">
        <v>46026.0</v>
      </c>
      <c r="B50" s="8">
        <v>52.0</v>
      </c>
      <c r="C50" s="9" t="s">
        <v>22</v>
      </c>
      <c r="D50" s="6">
        <v>1.8E7</v>
      </c>
      <c r="E50" s="7">
        <f t="shared" si="1"/>
        <v>807170</v>
      </c>
      <c r="F50" s="4">
        <f t="shared" si="2"/>
        <v>0.04484277778</v>
      </c>
      <c r="G50" s="8">
        <v>1324473.0</v>
      </c>
      <c r="H50" s="10">
        <v>807170.0</v>
      </c>
      <c r="I50" s="8">
        <v>0.0</v>
      </c>
      <c r="J50" s="8">
        <v>0.0</v>
      </c>
      <c r="K50" s="8">
        <v>414380.0</v>
      </c>
      <c r="L50" s="8">
        <v>0.0</v>
      </c>
      <c r="M50" s="8">
        <v>0.0</v>
      </c>
      <c r="N50" s="10">
        <v>1717263.0</v>
      </c>
      <c r="O50" s="10">
        <v>721630.0</v>
      </c>
    </row>
    <row r="51" ht="22.5" customHeight="1">
      <c r="A51" s="3">
        <v>46026.0</v>
      </c>
      <c r="B51" s="8">
        <v>61.0</v>
      </c>
      <c r="C51" s="9" t="s">
        <v>23</v>
      </c>
      <c r="D51" s="6">
        <v>1.8E7</v>
      </c>
      <c r="E51" s="7">
        <f t="shared" si="1"/>
        <v>242200</v>
      </c>
      <c r="F51" s="4">
        <f t="shared" si="2"/>
        <v>0.01345555556</v>
      </c>
      <c r="G51" s="8">
        <v>1560100.0</v>
      </c>
      <c r="H51" s="10">
        <v>242200.0</v>
      </c>
      <c r="I51" s="8">
        <v>210400.0</v>
      </c>
      <c r="J51" s="8">
        <v>0.0</v>
      </c>
      <c r="K51" s="8">
        <v>190700.0</v>
      </c>
      <c r="L51" s="8">
        <v>0.0</v>
      </c>
      <c r="M51" s="8">
        <v>0.0</v>
      </c>
      <c r="N51" s="10">
        <v>1401200.0</v>
      </c>
      <c r="O51" s="10">
        <v>242200.0</v>
      </c>
    </row>
    <row r="52" ht="22.5" customHeight="1">
      <c r="A52" s="3">
        <v>46026.0</v>
      </c>
      <c r="B52" s="8">
        <v>63.0</v>
      </c>
      <c r="C52" s="9" t="s">
        <v>24</v>
      </c>
      <c r="D52" s="6">
        <v>1.8E7</v>
      </c>
      <c r="E52" s="7">
        <f t="shared" si="1"/>
        <v>1448900</v>
      </c>
      <c r="F52" s="4">
        <f t="shared" si="2"/>
        <v>0.08049444444</v>
      </c>
      <c r="G52" s="8">
        <v>4763057.0</v>
      </c>
      <c r="H52" s="10">
        <v>1448900.0</v>
      </c>
      <c r="I52" s="8">
        <v>51000.0</v>
      </c>
      <c r="J52" s="8">
        <v>0.0</v>
      </c>
      <c r="K52" s="8">
        <v>40000.0</v>
      </c>
      <c r="L52" s="8">
        <v>0.0</v>
      </c>
      <c r="M52" s="8">
        <v>0.0</v>
      </c>
      <c r="N52" s="10">
        <v>6120957.0</v>
      </c>
      <c r="O52" s="10">
        <v>1415100.0</v>
      </c>
    </row>
    <row r="53" ht="22.5" customHeight="1">
      <c r="A53" s="3">
        <v>46026.0</v>
      </c>
      <c r="B53" s="8">
        <v>64.0</v>
      </c>
      <c r="C53" s="9" t="s">
        <v>25</v>
      </c>
      <c r="D53" s="6">
        <v>1.2E7</v>
      </c>
      <c r="E53" s="7">
        <f t="shared" si="1"/>
        <v>287800</v>
      </c>
      <c r="F53" s="4">
        <f t="shared" si="2"/>
        <v>0.02398333333</v>
      </c>
      <c r="G53" s="8">
        <v>3255450.0</v>
      </c>
      <c r="H53" s="10">
        <v>287800.0</v>
      </c>
      <c r="I53" s="8">
        <v>30500.0</v>
      </c>
      <c r="J53" s="8">
        <v>0.0</v>
      </c>
      <c r="K53" s="8">
        <v>44000.0</v>
      </c>
      <c r="L53" s="8">
        <v>0.0</v>
      </c>
      <c r="M53" s="8">
        <v>0.0</v>
      </c>
      <c r="N53" s="10">
        <v>3468750.0</v>
      </c>
      <c r="O53" s="10">
        <v>287800.0</v>
      </c>
    </row>
    <row r="54" ht="22.5" customHeight="1">
      <c r="A54" s="3">
        <v>46026.0</v>
      </c>
      <c r="B54" s="8">
        <v>71.0</v>
      </c>
      <c r="C54" s="9" t="s">
        <v>26</v>
      </c>
      <c r="D54" s="6">
        <v>1.2E7</v>
      </c>
      <c r="E54" s="7">
        <f t="shared" si="1"/>
        <v>1324200</v>
      </c>
      <c r="F54" s="4">
        <f t="shared" si="2"/>
        <v>0.11035</v>
      </c>
      <c r="G54" s="8">
        <v>4965974.2</v>
      </c>
      <c r="H54" s="10">
        <v>1324200.0</v>
      </c>
      <c r="I54" s="8">
        <v>0.0</v>
      </c>
      <c r="J54" s="8">
        <v>0.0</v>
      </c>
      <c r="K54" s="8">
        <v>941000.0</v>
      </c>
      <c r="L54" s="8">
        <v>0.0</v>
      </c>
      <c r="M54" s="8">
        <v>4200.0</v>
      </c>
      <c r="N54" s="10">
        <v>5344974.2</v>
      </c>
      <c r="O54" s="10">
        <v>1224800.0</v>
      </c>
    </row>
    <row r="55" ht="22.5" customHeight="1">
      <c r="A55" s="3">
        <v>46026.0</v>
      </c>
      <c r="B55" s="8">
        <v>72.0</v>
      </c>
      <c r="C55" s="9" t="s">
        <v>27</v>
      </c>
      <c r="D55" s="6">
        <v>1.8E7</v>
      </c>
      <c r="E55" s="7">
        <f t="shared" si="1"/>
        <v>1136450</v>
      </c>
      <c r="F55" s="4">
        <f t="shared" si="2"/>
        <v>0.06313611111</v>
      </c>
      <c r="G55" s="8">
        <v>3125564.0</v>
      </c>
      <c r="H55" s="10">
        <v>1136450.0</v>
      </c>
      <c r="I55" s="8">
        <v>53000.0</v>
      </c>
      <c r="J55" s="8">
        <v>0.0</v>
      </c>
      <c r="K55" s="8">
        <v>663562.0</v>
      </c>
      <c r="L55" s="8">
        <v>0.0</v>
      </c>
      <c r="M55" s="8">
        <v>74335.0</v>
      </c>
      <c r="N55" s="10">
        <v>3471117.0</v>
      </c>
      <c r="O55" s="10">
        <v>1101050.0</v>
      </c>
    </row>
    <row r="56" ht="15.75" customHeight="1">
      <c r="A56" s="11"/>
      <c r="B56" s="12"/>
      <c r="C56" s="13"/>
      <c r="D56" s="6">
        <v>1.6E7</v>
      </c>
      <c r="E56" s="4">
        <f t="shared" si="1"/>
        <v>0</v>
      </c>
      <c r="F56" s="4">
        <f t="shared" si="2"/>
        <v>0</v>
      </c>
      <c r="G56" s="12"/>
      <c r="H56" s="12"/>
      <c r="I56" s="12"/>
      <c r="J56" s="12"/>
      <c r="K56" s="12"/>
      <c r="L56" s="12"/>
      <c r="M56" s="12"/>
      <c r="N56" s="12"/>
      <c r="O56" s="12"/>
    </row>
    <row r="57" ht="15.75" customHeight="1">
      <c r="A57" s="11"/>
      <c r="B57" s="12"/>
      <c r="C57" s="13"/>
      <c r="D57" s="6">
        <v>1.6E7</v>
      </c>
      <c r="E57" s="4">
        <f t="shared" si="1"/>
        <v>0</v>
      </c>
      <c r="F57" s="4">
        <f t="shared" si="2"/>
        <v>0</v>
      </c>
      <c r="G57" s="12"/>
      <c r="H57" s="12"/>
      <c r="I57" s="12"/>
      <c r="J57" s="12"/>
      <c r="K57" s="12"/>
      <c r="L57" s="12"/>
      <c r="M57" s="12"/>
      <c r="N57" s="12"/>
      <c r="O57" s="12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55">
      <formula1>"باسم,محمد سلمى,محمود شوشه,الغربية 1,الغربيه 2,احمد الزيات,محمد طارق,محمد ابو شحاته,حسام حسن,احمد طلعت,اسماء محمد,محمد الجيزاوى,خالد الضو,اسراء"</formula1>
    </dataValidation>
    <dataValidation type="custom" allowBlank="1" showDropDown="1" sqref="A2:A55">
      <formula1>OR(NOT(ISERROR(DATEVALUE(A2))), AND(ISNUMBER(A2), LEFT(CELL("format", A2))="D"))</formula1>
    </dataValidation>
    <dataValidation type="custom" allowBlank="1" showDropDown="1" sqref="B2:B55 D2:O55 D56:F5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22.5" customHeight="1">
      <c r="A1" s="1" t="s">
        <v>1</v>
      </c>
      <c r="B1" s="1" t="s">
        <v>29</v>
      </c>
    </row>
    <row r="2" ht="22.5" customHeight="1">
      <c r="A2" s="4">
        <v>10.0</v>
      </c>
      <c r="B2" s="14"/>
    </row>
    <row r="3" ht="22.5" customHeight="1">
      <c r="A3" s="4">
        <v>20.0</v>
      </c>
      <c r="B3" s="14"/>
    </row>
    <row r="4" ht="22.5" customHeight="1">
      <c r="A4" s="4">
        <v>21.0</v>
      </c>
      <c r="B4" s="14"/>
    </row>
    <row r="5" ht="22.5" customHeight="1">
      <c r="A5" s="4">
        <v>30.0</v>
      </c>
      <c r="B5" s="14"/>
    </row>
    <row r="6" ht="22.5" customHeight="1">
      <c r="A6" s="4">
        <v>31.0</v>
      </c>
      <c r="B6" s="14"/>
    </row>
    <row r="7" ht="22.5" customHeight="1">
      <c r="A7" s="4">
        <v>40.0</v>
      </c>
      <c r="B7" s="14"/>
    </row>
    <row r="8" ht="22.5" customHeight="1">
      <c r="A8" s="4">
        <v>50.0</v>
      </c>
      <c r="B8" s="14"/>
    </row>
    <row r="9" ht="22.5" customHeight="1">
      <c r="A9" s="4">
        <v>51.0</v>
      </c>
      <c r="B9" s="14"/>
    </row>
    <row r="10" ht="22.5" customHeight="1">
      <c r="A10" s="4">
        <v>52.0</v>
      </c>
      <c r="B10" s="14"/>
    </row>
    <row r="11" ht="22.5" customHeight="1">
      <c r="A11" s="4">
        <v>60.0</v>
      </c>
      <c r="B11" s="14"/>
    </row>
    <row r="12" ht="22.5" customHeight="1">
      <c r="A12" s="4">
        <v>64.0</v>
      </c>
      <c r="B12" s="14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